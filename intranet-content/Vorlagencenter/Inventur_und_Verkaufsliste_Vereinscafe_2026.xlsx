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tikelstamm &amp; Preise" state="visible" r:id="rId4"/>
    <sheet sheetId="2" name="Wochen_Verkauf_Verbrauch" state="visible" r:id="rId5"/>
    <sheet sheetId="3" name="Minderung_und_Schwund" state="visible" r:id="rId6"/>
    <sheet sheetId="4" name="Stichtagsinventur_31_12" state="visible" r:id="rId7"/>
    <sheet sheetId="5" name="Kassenabgleich_Tagesabschluss" state="visible" r:id="rId8"/>
  </sheets>
  <calcPr calcId="171027"/>
</workbook>
</file>

<file path=xl/sharedStrings.xml><?xml version="1.0" encoding="utf-8"?>
<sst xmlns="http://schemas.openxmlformats.org/spreadsheetml/2006/main" count="486" uniqueCount="137">
  <si>
    <t>SPRACHCAFÉ POLNISCH e.V. – ARTIKELSTAMM, EINKAUFS- &amp; VERKAUFSPREISE 2026</t>
  </si>
  <si>
    <t>ID</t>
  </si>
  <si>
    <t>Kategorie</t>
  </si>
  <si>
    <t>Produktname</t>
  </si>
  <si>
    <t>Einheit</t>
  </si>
  <si>
    <t>Verkaufspreis (€)</t>
  </si>
  <si>
    <t>Einkaufspreis (€)</t>
  </si>
  <si>
    <t>Marge (€)</t>
  </si>
  <si>
    <t>Steuersphäre</t>
  </si>
  <si>
    <t>Geringfügigkeits-Schwelle</t>
  </si>
  <si>
    <t>Kalte Getränke</t>
  </si>
  <si>
    <t>Mate-Limo</t>
  </si>
  <si>
    <t>Flasche</t>
  </si>
  <si>
    <t>Wirtschaftlicher Geschäftsbetrieb</t>
  </si>
  <si>
    <t>&lt; 3 Flaschen (angebrochen)</t>
  </si>
  <si>
    <t>Ostmost (div. Sorten)</t>
  </si>
  <si>
    <t>Quetschie / Fruchtmus</t>
  </si>
  <si>
    <t>Btl</t>
  </si>
  <si>
    <t>&lt; 3 Packungen</t>
  </si>
  <si>
    <t>Saft (Apfel/Orange)</t>
  </si>
  <si>
    <t>Glas/Fl</t>
  </si>
  <si>
    <t>&lt; 2 Flaschen</t>
  </si>
  <si>
    <t>Wasser 0,5L</t>
  </si>
  <si>
    <t>&lt; 1 Kiste angebrochen</t>
  </si>
  <si>
    <t>Warme Getränke</t>
  </si>
  <si>
    <t>Kaffee klein (Espresso/Filter)</t>
  </si>
  <si>
    <t>Tasse</t>
  </si>
  <si>
    <t>Zweckbetrieb / Kiosk</t>
  </si>
  <si>
    <t>&lt; 1 kg angebrochen</t>
  </si>
  <si>
    <t>Kaffee groß / Cappuccino / Latte</t>
  </si>
  <si>
    <t>Tasse/Glas</t>
  </si>
  <si>
    <t>Tee (div. Bio-Sorten)</t>
  </si>
  <si>
    <t>Tasse/Kanne</t>
  </si>
  <si>
    <t>&lt; 2 Packungen</t>
  </si>
  <si>
    <t>Heisse Schokolade</t>
  </si>
  <si>
    <t>Becher</t>
  </si>
  <si>
    <t>&lt; 1 Dose Pulver</t>
  </si>
  <si>
    <t>Snacks &amp; Gebäck</t>
  </si>
  <si>
    <t>Kuchen (frisch / Stück)</t>
  </si>
  <si>
    <t>Stück</t>
  </si>
  <si>
    <t>Tagesverzehr (Rest = 0 €)</t>
  </si>
  <si>
    <t>Krówki / Polnische Bonbons</t>
  </si>
  <si>
    <t>Stk</t>
  </si>
  <si>
    <t>&lt; 1 Beutel</t>
  </si>
  <si>
    <t>Lolly</t>
  </si>
  <si>
    <t>&lt; 5 Stück</t>
  </si>
  <si>
    <t>Schokoriegel klein / Prinz Polo</t>
  </si>
  <si>
    <t>&lt; 5 Riegel</t>
  </si>
  <si>
    <t>Schokoriegel groß</t>
  </si>
  <si>
    <t>&lt; 3 Riegel</t>
  </si>
  <si>
    <t>Kleiner Laden</t>
  </si>
  <si>
    <t>T-Shirts (Vereins-Design S–XXL)</t>
  </si>
  <si>
    <t>Keine Geringf. (alle zählen)</t>
  </si>
  <si>
    <t>Speak-Dating Kartenspiel (zweisprachig)</t>
  </si>
  <si>
    <t>Set</t>
  </si>
  <si>
    <t>Zweckbetrieb / Merch</t>
  </si>
  <si>
    <t>Spenden &amp; Sonstiges</t>
  </si>
  <si>
    <t>Spende (Bücher, Bibliothek, Allgemein)</t>
  </si>
  <si>
    <t>Vorgang</t>
  </si>
  <si>
    <t>Ideeller Bereich / Spende</t>
  </si>
  <si>
    <t>Keine Inventurware</t>
  </si>
  <si>
    <t>Andere Einnahmen</t>
  </si>
  <si>
    <t>Nach Zweck zuzuordnen</t>
  </si>
  <si>
    <t>SPRACHCAFÉ POLNISCH e.V. – WÖCHENTLICHE VERKAUFS- &amp; STRICHLISTE</t>
  </si>
  <si>
    <t>Woche vom: ____________________ bis: ____________________   |   Standort: Schulzestr. 1, Berlin-Pankow</t>
  </si>
  <si>
    <t>Preis (€)</t>
  </si>
  <si>
    <t>Mo</t>
  </si>
  <si>
    <t>Di</t>
  </si>
  <si>
    <t>Mi</t>
  </si>
  <si>
    <t>Do</t>
  </si>
  <si>
    <t>Fr</t>
  </si>
  <si>
    <t>Sa</t>
  </si>
  <si>
    <t>So</t>
  </si>
  <si>
    <t>Gesamt Stk</t>
  </si>
  <si>
    <t>Einnahmen (€)</t>
  </si>
  <si>
    <t/>
  </si>
  <si>
    <t>GESAMTEINNAHMEN WOCHE (SOLL):</t>
  </si>
  <si>
    <t>MINDERUNGSPROTOKOLL: SCHWUND, MHD-ABLAUF &amp; HELFERVERPFLEGUNG</t>
  </si>
  <si>
    <t>Rechtlicher Nachweis für das Finanzamt über Warenabgänge ohne Verkaufserlös (GoBD / Gemeinnützigkeit)</t>
  </si>
  <si>
    <t>Lfd. Nr.</t>
  </si>
  <si>
    <t>Datum</t>
  </si>
  <si>
    <t>Artikel / Produkt</t>
  </si>
  <si>
    <t>Menge</t>
  </si>
  <si>
    <t>Art des Abgangs</t>
  </si>
  <si>
    <t>Begründung / Anlass</t>
  </si>
  <si>
    <t>EK-Preis (€)</t>
  </si>
  <si>
    <t>Gesamtwert (€)</t>
  </si>
  <si>
    <t>Erfasst durch</t>
  </si>
  <si>
    <t>12.08.2026</t>
  </si>
  <si>
    <t>Ostmost Apfel-Rhabarber</t>
  </si>
  <si>
    <t>MHD-Ablauf / Verderb</t>
  </si>
  <si>
    <t>MHD 08/2026 überschritten, Trübung entsorgt</t>
  </si>
  <si>
    <t>Dorota Stasińska</t>
  </si>
  <si>
    <t>19.08.2026</t>
  </si>
  <si>
    <t>Helferverpflegung</t>
  </si>
  <si>
    <t>Kostenlose Verpflegung Helfer Speak-Dating Schicht</t>
  </si>
  <si>
    <t>Schichtleitung</t>
  </si>
  <si>
    <t>26.08.2026</t>
  </si>
  <si>
    <t>Kuchen</t>
  </si>
  <si>
    <t>Verderb / Rest</t>
  </si>
  <si>
    <t>Tagesreste Sprachcafé nach 3 Tagen entsorgt</t>
  </si>
  <si>
    <t>SPRACHCAFÉ POLNISCH e.V. – STICHTAGSINVENTUR ZUM 31. DEZEMBER (UMLAUFVERMÖGEN)</t>
  </si>
  <si>
    <t>Bewertung nach Anschaffungskosten / Niederstwertprinzip gem. § 4 Abs. 3 EStG für MTH Vereinsprofi</t>
  </si>
  <si>
    <t>Pos.</t>
  </si>
  <si>
    <t>Artikel</t>
  </si>
  <si>
    <t>Anfangsbestand 01.01.</t>
  </si>
  <si>
    <t>Zugänge im Jahr</t>
  </si>
  <si>
    <t>Verkauf / Abgang</t>
  </si>
  <si>
    <t>Schwund / Helfer</t>
  </si>
  <si>
    <t>Soll-Endbestand</t>
  </si>
  <si>
    <t>Ist-Zählung (31.12.)</t>
  </si>
  <si>
    <t>Differenz</t>
  </si>
  <si>
    <t>Geringfügigkeit?</t>
  </si>
  <si>
    <t>Inventurwert 31.12. (€)</t>
  </si>
  <si>
    <t>GESAMT-INVENTURWERT ZUM 31.12.:</t>
  </si>
  <si>
    <t>SPRACHCAFÉ POLNISCH e.V. – KASSENSTURZ &amp; TAGESABGLEICH</t>
  </si>
  <si>
    <t>Datum &amp; Standort:</t>
  </si>
  <si>
    <t>28.08.2026</t>
  </si>
  <si>
    <t>Schulzestr. 1, 13187 Berlin-Pankow</t>
  </si>
  <si>
    <t>Schichtleitung / Erfasser:in:</t>
  </si>
  <si>
    <t>Mustername Helfer:in</t>
  </si>
  <si>
    <t>Handzeichen / Unterschrift</t>
  </si>
  <si>
    <t>1. Kassenanfangsbestand (Wechselgeld):</t>
  </si>
  <si>
    <t>Soll-Wechselgeldbestand zu Schichtbeginn</t>
  </si>
  <si>
    <t>2. + Bareinnahmen (Kiosk &amp; Getränke):</t>
  </si>
  <si>
    <t>Lt. Strichliste Wochen_Verkauf_Verbrauch</t>
  </si>
  <si>
    <t>3. + Barspenden (Speak-Dating / Bibliothek):</t>
  </si>
  <si>
    <t>Freiwillige Barspenden in die Kasse</t>
  </si>
  <si>
    <t>4. - Barausgaben / Einkäufe (mit Beleg):</t>
  </si>
  <si>
    <t>Netto Kassenbon (Milch, Kaffee) anbei</t>
  </si>
  <si>
    <t>---------------------------------------------</t>
  </si>
  <si>
    <t>= THEORETISCHER KASSEN-ENDSTAND (SOLL):</t>
  </si>
  <si>
    <t>Formel: Anfang + Einnahmen - Ausgaben</t>
  </si>
  <si>
    <t>= TATSÄCHLICH GEZÄHLTER IST-STAND:</t>
  </si>
  <si>
    <t>Gezähltes Bargeld im Tresor am Abend</t>
  </si>
  <si>
    <t>DIFFERENZ (IST - SOLL):</t>
  </si>
  <si>
    <t>Muss 0,00 € sein (Differenz prüfen!)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</si>
</sst>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€"/>
  </numFmts>
  <fonts count="8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b/>
      <color rgb="FFFFFFFF"/>
    </font>
    <font>
      <b/>
      <i/>
      <sz val="11"/>
    </font>
    <font>
      <b/>
      <sz val="12"/>
    </font>
    <font>
      <i/>
      <color rgb="FF595959"/>
      <sz val="10"/>
    </font>
    <font>
      <i/>
      <sz val="10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8B263E"/>
      </patternFill>
    </fill>
    <fill>
      <patternFill patternType="solid">
        <fgColor rgb="FFFAF6EE"/>
      </patternFill>
    </fill>
    <fill>
      <patternFill patternType="solid">
        <fgColor rgb="FFF5EB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2" borderId="0" xfId="0" applyFont="1" applyFill="1" applyAlignment="1">
      <alignment horizontal="center" vertical="center"/>
    </xf>
    <xf numFmtId="164" fontId="0" fillId="0" borderId="0" xfId="0" applyNumberFormat="1"/>
    <xf numFmtId="0" fontId="0" fillId="3" borderId="0" xfId="0" applyFill="1"/>
    <xf numFmtId="164" fontId="0" fillId="3" borderId="0" xfId="0" applyNumberFormat="1" applyFill="1"/>
    <xf numFmtId="0" fontId="3" fillId="0" borderId="0" xfId="0" applyFont="1"/>
    <xf numFmtId="3" fontId="0" fillId="0" borderId="0" xfId="0" applyNumberFormat="1"/>
    <xf numFmtId="3" fontId="0" fillId="3" borderId="0" xfId="0" applyNumberFormat="1" applyFill="1"/>
    <xf numFmtId="0" fontId="4" fillId="0" borderId="0" xfId="0" applyFont="1"/>
    <xf numFmtId="164" fontId="4" fillId="4" borderId="0" xfId="0" applyNumberFormat="1" applyFont="1" applyFill="1"/>
    <xf numFmtId="0" fontId="5" fillId="0" borderId="0" xfId="0" applyFont="1"/>
    <xf numFmtId="0" fontId="6" fillId="0" borderId="0" xfId="0" applyFont="1"/>
    <xf numFmtId="0" fontId="7" fillId="0" borderId="0" xfId="0" applyFont="1"/>
    <xf numFmtId="164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FormatPr defaultRowHeight="15" outlineLevelRow="0" outlineLevelCol="0" x14ac:dyDescent="55"/>
  <cols>
    <col min="1" max="1" width="6" customWidth="1"/>
    <col min="2" max="2" width="18" customWidth="1"/>
    <col min="3" max="3" width="38" customWidth="1"/>
    <col min="4" max="4" width="10" customWidth="1"/>
    <col min="5" max="6" width="18" customWidth="1"/>
    <col min="7" max="7" width="14" customWidth="1"/>
    <col min="8" max="9" width="26" customWidth="1"/>
  </cols>
  <sheetData>
    <row r="1" ht="3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4" customHeight="1" spans="1:9" s="2" customForma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 x14ac:dyDescent="0.25">
      <c r="A3">
        <v>1</v>
      </c>
      <c r="B3" t="s">
        <v>10</v>
      </c>
      <c r="C3" t="s">
        <v>11</v>
      </c>
      <c r="D3" t="s">
        <v>12</v>
      </c>
      <c r="E3" s="4">
        <v>3</v>
      </c>
      <c r="F3" s="4">
        <v>1.2</v>
      </c>
      <c r="G3" s="4">
        <f>E3-F3</f>
      </c>
      <c r="H3" t="s">
        <v>13</v>
      </c>
      <c r="I3" t="s">
        <v>14</v>
      </c>
    </row>
    <row r="4" spans="1:9" x14ac:dyDescent="0.25">
      <c r="A4" s="5">
        <v>2</v>
      </c>
      <c r="B4" s="5" t="s">
        <v>10</v>
      </c>
      <c r="C4" s="5" t="s">
        <v>15</v>
      </c>
      <c r="D4" s="5" t="s">
        <v>12</v>
      </c>
      <c r="E4" s="6">
        <v>3</v>
      </c>
      <c r="F4" s="6">
        <v>1.3</v>
      </c>
      <c r="G4" s="6">
        <f>E4-F4</f>
      </c>
      <c r="H4" s="5" t="s">
        <v>13</v>
      </c>
      <c r="I4" s="5" t="s">
        <v>14</v>
      </c>
    </row>
    <row r="5" spans="1:9" x14ac:dyDescent="0.25">
      <c r="A5">
        <v>3</v>
      </c>
      <c r="B5" t="s">
        <v>10</v>
      </c>
      <c r="C5" t="s">
        <v>16</v>
      </c>
      <c r="D5" t="s">
        <v>17</v>
      </c>
      <c r="E5" s="4">
        <v>2</v>
      </c>
      <c r="F5" s="4">
        <v>0.8</v>
      </c>
      <c r="G5" s="4">
        <f>E5-F5</f>
      </c>
      <c r="H5" t="s">
        <v>13</v>
      </c>
      <c r="I5" t="s">
        <v>18</v>
      </c>
    </row>
    <row r="6" spans="1:9" x14ac:dyDescent="0.25">
      <c r="A6" s="5">
        <v>4</v>
      </c>
      <c r="B6" s="5" t="s">
        <v>10</v>
      </c>
      <c r="C6" s="5" t="s">
        <v>19</v>
      </c>
      <c r="D6" s="5" t="s">
        <v>20</v>
      </c>
      <c r="E6" s="6">
        <v>2.5</v>
      </c>
      <c r="F6" s="6">
        <v>1.1</v>
      </c>
      <c r="G6" s="6">
        <f>E6-F6</f>
      </c>
      <c r="H6" s="5" t="s">
        <v>13</v>
      </c>
      <c r="I6" s="5" t="s">
        <v>21</v>
      </c>
    </row>
    <row r="7" spans="1:9" x14ac:dyDescent="0.25">
      <c r="A7">
        <v>5</v>
      </c>
      <c r="B7" t="s">
        <v>10</v>
      </c>
      <c r="C7" t="s">
        <v>22</v>
      </c>
      <c r="D7" t="s">
        <v>12</v>
      </c>
      <c r="E7" s="4">
        <v>2</v>
      </c>
      <c r="F7" s="4">
        <v>0.5</v>
      </c>
      <c r="G7" s="4">
        <f>E7-F7</f>
      </c>
      <c r="H7" t="s">
        <v>13</v>
      </c>
      <c r="I7" t="s">
        <v>23</v>
      </c>
    </row>
    <row r="8" spans="1:9" x14ac:dyDescent="0.25">
      <c r="A8" s="5">
        <v>6</v>
      </c>
      <c r="B8" s="5" t="s">
        <v>24</v>
      </c>
      <c r="C8" s="5" t="s">
        <v>25</v>
      </c>
      <c r="D8" s="5" t="s">
        <v>26</v>
      </c>
      <c r="E8" s="6">
        <v>2.5</v>
      </c>
      <c r="F8" s="6">
        <v>0.4</v>
      </c>
      <c r="G8" s="6">
        <f>E8-F8</f>
      </c>
      <c r="H8" s="5" t="s">
        <v>27</v>
      </c>
      <c r="I8" s="5" t="s">
        <v>28</v>
      </c>
    </row>
    <row r="9" spans="1:9" x14ac:dyDescent="0.25">
      <c r="A9">
        <v>7</v>
      </c>
      <c r="B9" t="s">
        <v>24</v>
      </c>
      <c r="C9" t="s">
        <v>29</v>
      </c>
      <c r="D9" t="s">
        <v>30</v>
      </c>
      <c r="E9" s="4">
        <v>3.5</v>
      </c>
      <c r="F9" s="4">
        <v>0.7</v>
      </c>
      <c r="G9" s="4">
        <f>E9-F9</f>
      </c>
      <c r="H9" t="s">
        <v>27</v>
      </c>
      <c r="I9" t="s">
        <v>28</v>
      </c>
    </row>
    <row r="10" spans="1:9" x14ac:dyDescent="0.25">
      <c r="A10" s="5">
        <v>8</v>
      </c>
      <c r="B10" s="5" t="s">
        <v>24</v>
      </c>
      <c r="C10" s="5" t="s">
        <v>31</v>
      </c>
      <c r="D10" s="5" t="s">
        <v>32</v>
      </c>
      <c r="E10" s="6">
        <v>2</v>
      </c>
      <c r="F10" s="6">
        <v>0.3</v>
      </c>
      <c r="G10" s="6">
        <f>E10-F10</f>
      </c>
      <c r="H10" s="5" t="s">
        <v>27</v>
      </c>
      <c r="I10" s="5" t="s">
        <v>33</v>
      </c>
    </row>
    <row r="11" spans="1:9" x14ac:dyDescent="0.25">
      <c r="A11">
        <v>9</v>
      </c>
      <c r="B11" t="s">
        <v>24</v>
      </c>
      <c r="C11" t="s">
        <v>34</v>
      </c>
      <c r="D11" t="s">
        <v>35</v>
      </c>
      <c r="E11" s="4">
        <v>4</v>
      </c>
      <c r="F11" s="4">
        <v>0.9</v>
      </c>
      <c r="G11" s="4">
        <f>E11-F11</f>
      </c>
      <c r="H11" t="s">
        <v>27</v>
      </c>
      <c r="I11" t="s">
        <v>36</v>
      </c>
    </row>
    <row r="12" spans="1:9" x14ac:dyDescent="0.25">
      <c r="A12" s="5">
        <v>10</v>
      </c>
      <c r="B12" s="5" t="s">
        <v>37</v>
      </c>
      <c r="C12" s="5" t="s">
        <v>38</v>
      </c>
      <c r="D12" s="5" t="s">
        <v>39</v>
      </c>
      <c r="E12" s="6">
        <v>2.5</v>
      </c>
      <c r="F12" s="6">
        <v>1</v>
      </c>
      <c r="G12" s="6">
        <f>E12-F12</f>
      </c>
      <c r="H12" s="5" t="s">
        <v>27</v>
      </c>
      <c r="I12" s="5" t="s">
        <v>40</v>
      </c>
    </row>
    <row r="13" spans="1:9" x14ac:dyDescent="0.25">
      <c r="A13">
        <v>11</v>
      </c>
      <c r="B13" t="s">
        <v>37</v>
      </c>
      <c r="C13" t="s">
        <v>41</v>
      </c>
      <c r="D13" t="s">
        <v>42</v>
      </c>
      <c r="E13" s="4">
        <v>0.3</v>
      </c>
      <c r="F13" s="4">
        <v>0.1</v>
      </c>
      <c r="G13" s="4">
        <f>E13-F13</f>
      </c>
      <c r="H13" t="s">
        <v>13</v>
      </c>
      <c r="I13" t="s">
        <v>43</v>
      </c>
    </row>
    <row r="14" spans="1:9" x14ac:dyDescent="0.25">
      <c r="A14" s="5">
        <v>12</v>
      </c>
      <c r="B14" s="5" t="s">
        <v>37</v>
      </c>
      <c r="C14" s="5" t="s">
        <v>44</v>
      </c>
      <c r="D14" s="5" t="s">
        <v>42</v>
      </c>
      <c r="E14" s="6">
        <v>0.5</v>
      </c>
      <c r="F14" s="6">
        <v>0.15</v>
      </c>
      <c r="G14" s="6">
        <f>E14-F14</f>
      </c>
      <c r="H14" s="5" t="s">
        <v>13</v>
      </c>
      <c r="I14" s="5" t="s">
        <v>45</v>
      </c>
    </row>
    <row r="15" spans="1:9" x14ac:dyDescent="0.25">
      <c r="A15">
        <v>13</v>
      </c>
      <c r="B15" t="s">
        <v>37</v>
      </c>
      <c r="C15" t="s">
        <v>46</v>
      </c>
      <c r="D15" t="s">
        <v>42</v>
      </c>
      <c r="E15" s="4">
        <v>0.5</v>
      </c>
      <c r="F15" s="4">
        <v>0.2</v>
      </c>
      <c r="G15" s="4">
        <f>E15-F15</f>
      </c>
      <c r="H15" t="s">
        <v>13</v>
      </c>
      <c r="I15" t="s">
        <v>47</v>
      </c>
    </row>
    <row r="16" spans="1:9" x14ac:dyDescent="0.25">
      <c r="A16" s="5">
        <v>14</v>
      </c>
      <c r="B16" s="5" t="s">
        <v>37</v>
      </c>
      <c r="C16" s="5" t="s">
        <v>48</v>
      </c>
      <c r="D16" s="5" t="s">
        <v>42</v>
      </c>
      <c r="E16" s="6">
        <v>1</v>
      </c>
      <c r="F16" s="6">
        <v>0.45</v>
      </c>
      <c r="G16" s="6">
        <f>E16-F16</f>
      </c>
      <c r="H16" s="5" t="s">
        <v>13</v>
      </c>
      <c r="I16" s="5" t="s">
        <v>49</v>
      </c>
    </row>
    <row r="17" spans="1:9" x14ac:dyDescent="0.25">
      <c r="A17">
        <v>15</v>
      </c>
      <c r="B17" t="s">
        <v>50</v>
      </c>
      <c r="C17" t="s">
        <v>51</v>
      </c>
      <c r="D17" t="s">
        <v>42</v>
      </c>
      <c r="E17" s="4">
        <v>20</v>
      </c>
      <c r="F17" s="4">
        <v>8.5</v>
      </c>
      <c r="G17" s="4">
        <f>E17-F17</f>
      </c>
      <c r="H17" t="s">
        <v>13</v>
      </c>
      <c r="I17" t="s">
        <v>52</v>
      </c>
    </row>
    <row r="18" spans="1:9" x14ac:dyDescent="0.25">
      <c r="A18" s="5">
        <v>16</v>
      </c>
      <c r="B18" s="5" t="s">
        <v>50</v>
      </c>
      <c r="C18" s="5" t="s">
        <v>53</v>
      </c>
      <c r="D18" s="5" t="s">
        <v>54</v>
      </c>
      <c r="E18" s="6">
        <v>12</v>
      </c>
      <c r="F18" s="6">
        <v>4.2</v>
      </c>
      <c r="G18" s="6">
        <f>E18-F18</f>
      </c>
      <c r="H18" s="5" t="s">
        <v>55</v>
      </c>
      <c r="I18" s="5" t="s">
        <v>52</v>
      </c>
    </row>
    <row r="19" spans="1:9" x14ac:dyDescent="0.25">
      <c r="A19">
        <v>17</v>
      </c>
      <c r="B19" t="s">
        <v>56</v>
      </c>
      <c r="C19" t="s">
        <v>57</v>
      </c>
      <c r="D19" t="s">
        <v>58</v>
      </c>
      <c r="E19" s="4">
        <v>0</v>
      </c>
      <c r="F19" s="4">
        <v>0</v>
      </c>
      <c r="G19" s="4">
        <f>E19-F19</f>
      </c>
      <c r="H19" t="s">
        <v>59</v>
      </c>
      <c r="I19" t="s">
        <v>60</v>
      </c>
    </row>
    <row r="20" spans="1:9" x14ac:dyDescent="0.25">
      <c r="A20" s="5">
        <v>18</v>
      </c>
      <c r="B20" s="5" t="s">
        <v>56</v>
      </c>
      <c r="C20" s="5" t="s">
        <v>61</v>
      </c>
      <c r="D20" s="5" t="s">
        <v>58</v>
      </c>
      <c r="E20" s="6">
        <v>0</v>
      </c>
      <c r="F20" s="6">
        <v>0</v>
      </c>
      <c r="G20" s="6">
        <f>E20-F20</f>
      </c>
      <c r="H20" s="5" t="s">
        <v>62</v>
      </c>
      <c r="I20" s="5" t="s">
        <v>60</v>
      </c>
    </row>
  </sheetData>
  <mergeCells count="1">
    <mergeCell ref="A1:I1"/>
  </mergeCells>
  <pageMargins left="0.7" right="0.7" top="0.75" bottom="0.75" header="0.3" footer="0.3"/>
  <pageSetup orientation="landscape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FormatPr defaultRowHeight="15" outlineLevelRow="0" outlineLevelCol="0" x14ac:dyDescent="55"/>
  <cols>
    <col min="1" max="1" width="36" customWidth="1"/>
    <col min="2" max="2" width="14" customWidth="1"/>
    <col min="3" max="9" width="8" customWidth="1"/>
    <col min="10" max="10" width="15" customWidth="1"/>
    <col min="11" max="11" width="18" customWidth="1"/>
  </cols>
  <sheetData>
    <row r="1" ht="30" customHeight="1" spans="1:11" x14ac:dyDescent="0.25">
      <c r="A1" s="1" t="s">
        <v>63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" x14ac:dyDescent="0.25">
      <c r="A2" s="7" t="s">
        <v>64</v>
      </c>
    </row>
    <row r="3" spans="1:11" s="2" customFormat="1" x14ac:dyDescent="0.25">
      <c r="A3" s="3" t="s">
        <v>3</v>
      </c>
      <c r="B3" s="3" t="s">
        <v>65</v>
      </c>
      <c r="C3" s="3" t="s">
        <v>66</v>
      </c>
      <c r="D3" s="3" t="s">
        <v>67</v>
      </c>
      <c r="E3" s="3" t="s">
        <v>68</v>
      </c>
      <c r="F3" s="3" t="s">
        <v>69</v>
      </c>
      <c r="G3" s="3" t="s">
        <v>70</v>
      </c>
      <c r="H3" s="3" t="s">
        <v>71</v>
      </c>
      <c r="I3" s="3" t="s">
        <v>72</v>
      </c>
      <c r="J3" s="3" t="s">
        <v>73</v>
      </c>
      <c r="K3" s="3" t="s">
        <v>74</v>
      </c>
    </row>
    <row r="4" spans="1:11" x14ac:dyDescent="0.25">
      <c r="A4" t="s">
        <v>11</v>
      </c>
      <c r="B4" s="4">
        <v>3</v>
      </c>
      <c r="C4" t="s">
        <v>75</v>
      </c>
      <c r="D4" t="s">
        <v>75</v>
      </c>
      <c r="E4" t="s">
        <v>75</v>
      </c>
      <c r="F4" t="s">
        <v>75</v>
      </c>
      <c r="G4" t="s">
        <v>75</v>
      </c>
      <c r="H4" t="s">
        <v>75</v>
      </c>
      <c r="I4" t="s">
        <v>75</v>
      </c>
      <c r="J4" s="8">
        <f>SUM(C4:I4)</f>
      </c>
      <c r="K4" s="4">
        <f>B4*J4</f>
      </c>
    </row>
    <row r="5" spans="1:11" x14ac:dyDescent="0.25">
      <c r="A5" s="5" t="s">
        <v>15</v>
      </c>
      <c r="B5" s="6">
        <v>3</v>
      </c>
      <c r="C5" s="5" t="s">
        <v>75</v>
      </c>
      <c r="D5" s="5" t="s">
        <v>75</v>
      </c>
      <c r="E5" s="5" t="s">
        <v>75</v>
      </c>
      <c r="F5" s="5" t="s">
        <v>75</v>
      </c>
      <c r="G5" s="5" t="s">
        <v>75</v>
      </c>
      <c r="H5" s="5" t="s">
        <v>75</v>
      </c>
      <c r="I5" s="5" t="s">
        <v>75</v>
      </c>
      <c r="J5" s="9">
        <f>SUM(C5:I5)</f>
      </c>
      <c r="K5" s="6">
        <f>B5*J5</f>
      </c>
    </row>
    <row r="6" spans="1:11" x14ac:dyDescent="0.25">
      <c r="A6" t="s">
        <v>16</v>
      </c>
      <c r="B6" s="4">
        <v>2</v>
      </c>
      <c r="C6" t="s">
        <v>75</v>
      </c>
      <c r="D6" t="s">
        <v>75</v>
      </c>
      <c r="E6" t="s">
        <v>75</v>
      </c>
      <c r="F6" t="s">
        <v>75</v>
      </c>
      <c r="G6" t="s">
        <v>75</v>
      </c>
      <c r="H6" t="s">
        <v>75</v>
      </c>
      <c r="I6" t="s">
        <v>75</v>
      </c>
      <c r="J6" s="8">
        <f>SUM(C6:I6)</f>
      </c>
      <c r="K6" s="4">
        <f>B6*J6</f>
      </c>
    </row>
    <row r="7" spans="1:11" x14ac:dyDescent="0.25">
      <c r="A7" s="5" t="s">
        <v>19</v>
      </c>
      <c r="B7" s="6">
        <v>2.5</v>
      </c>
      <c r="C7" s="5" t="s">
        <v>75</v>
      </c>
      <c r="D7" s="5" t="s">
        <v>75</v>
      </c>
      <c r="E7" s="5" t="s">
        <v>75</v>
      </c>
      <c r="F7" s="5" t="s">
        <v>75</v>
      </c>
      <c r="G7" s="5" t="s">
        <v>75</v>
      </c>
      <c r="H7" s="5" t="s">
        <v>75</v>
      </c>
      <c r="I7" s="5" t="s">
        <v>75</v>
      </c>
      <c r="J7" s="9">
        <f>SUM(C7:I7)</f>
      </c>
      <c r="K7" s="6">
        <f>B7*J7</f>
      </c>
    </row>
    <row r="8" spans="1:11" x14ac:dyDescent="0.25">
      <c r="A8" t="s">
        <v>22</v>
      </c>
      <c r="B8" s="4">
        <v>2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  <c r="J8" s="8">
        <f>SUM(C8:I8)</f>
      </c>
      <c r="K8" s="4">
        <f>B8*J8</f>
      </c>
    </row>
    <row r="9" spans="1:11" x14ac:dyDescent="0.25">
      <c r="A9" s="5" t="s">
        <v>25</v>
      </c>
      <c r="B9" s="6">
        <v>2.5</v>
      </c>
      <c r="C9" s="5" t="s">
        <v>75</v>
      </c>
      <c r="D9" s="5" t="s">
        <v>75</v>
      </c>
      <c r="E9" s="5" t="s">
        <v>75</v>
      </c>
      <c r="F9" s="5" t="s">
        <v>75</v>
      </c>
      <c r="G9" s="5" t="s">
        <v>75</v>
      </c>
      <c r="H9" s="5" t="s">
        <v>75</v>
      </c>
      <c r="I9" s="5" t="s">
        <v>75</v>
      </c>
      <c r="J9" s="9">
        <f>SUM(C9:I9)</f>
      </c>
      <c r="K9" s="6">
        <f>B9*J9</f>
      </c>
    </row>
    <row r="10" spans="1:11" x14ac:dyDescent="0.25">
      <c r="A10" t="s">
        <v>29</v>
      </c>
      <c r="B10" s="4">
        <v>3.5</v>
      </c>
      <c r="C10" t="s">
        <v>75</v>
      </c>
      <c r="D10" t="s">
        <v>75</v>
      </c>
      <c r="E10" t="s">
        <v>75</v>
      </c>
      <c r="F10" t="s">
        <v>75</v>
      </c>
      <c r="G10" t="s">
        <v>75</v>
      </c>
      <c r="H10" t="s">
        <v>75</v>
      </c>
      <c r="I10" t="s">
        <v>75</v>
      </c>
      <c r="J10" s="8">
        <f>SUM(C10:I10)</f>
      </c>
      <c r="K10" s="4">
        <f>B10*J10</f>
      </c>
    </row>
    <row r="11" spans="1:11" x14ac:dyDescent="0.25">
      <c r="A11" s="5" t="s">
        <v>31</v>
      </c>
      <c r="B11" s="6">
        <v>2</v>
      </c>
      <c r="C11" s="5" t="s">
        <v>75</v>
      </c>
      <c r="D11" s="5" t="s">
        <v>75</v>
      </c>
      <c r="E11" s="5" t="s">
        <v>75</v>
      </c>
      <c r="F11" s="5" t="s">
        <v>75</v>
      </c>
      <c r="G11" s="5" t="s">
        <v>75</v>
      </c>
      <c r="H11" s="5" t="s">
        <v>75</v>
      </c>
      <c r="I11" s="5" t="s">
        <v>75</v>
      </c>
      <c r="J11" s="9">
        <f>SUM(C11:I11)</f>
      </c>
      <c r="K11" s="6">
        <f>B11*J11</f>
      </c>
    </row>
    <row r="12" spans="1:11" x14ac:dyDescent="0.25">
      <c r="A12" t="s">
        <v>34</v>
      </c>
      <c r="B12" s="4">
        <v>4</v>
      </c>
      <c r="C12" t="s">
        <v>75</v>
      </c>
      <c r="D12" t="s">
        <v>75</v>
      </c>
      <c r="E12" t="s">
        <v>75</v>
      </c>
      <c r="F12" t="s">
        <v>75</v>
      </c>
      <c r="G12" t="s">
        <v>75</v>
      </c>
      <c r="H12" t="s">
        <v>75</v>
      </c>
      <c r="I12" t="s">
        <v>75</v>
      </c>
      <c r="J12" s="8">
        <f>SUM(C12:I12)</f>
      </c>
      <c r="K12" s="4">
        <f>B12*J12</f>
      </c>
    </row>
    <row r="13" spans="1:11" x14ac:dyDescent="0.25">
      <c r="A13" s="5" t="s">
        <v>38</v>
      </c>
      <c r="B13" s="6">
        <v>2.5</v>
      </c>
      <c r="C13" s="5" t="s">
        <v>75</v>
      </c>
      <c r="D13" s="5" t="s">
        <v>75</v>
      </c>
      <c r="E13" s="5" t="s">
        <v>75</v>
      </c>
      <c r="F13" s="5" t="s">
        <v>75</v>
      </c>
      <c r="G13" s="5" t="s">
        <v>75</v>
      </c>
      <c r="H13" s="5" t="s">
        <v>75</v>
      </c>
      <c r="I13" s="5" t="s">
        <v>75</v>
      </c>
      <c r="J13" s="9">
        <f>SUM(C13:I13)</f>
      </c>
      <c r="K13" s="6">
        <f>B13*J13</f>
      </c>
    </row>
    <row r="14" spans="1:11" x14ac:dyDescent="0.25">
      <c r="A14" t="s">
        <v>41</v>
      </c>
      <c r="B14" s="4">
        <v>0.3</v>
      </c>
      <c r="C14" t="s">
        <v>75</v>
      </c>
      <c r="D14" t="s">
        <v>75</v>
      </c>
      <c r="E14" t="s">
        <v>75</v>
      </c>
      <c r="F14" t="s">
        <v>75</v>
      </c>
      <c r="G14" t="s">
        <v>75</v>
      </c>
      <c r="H14" t="s">
        <v>75</v>
      </c>
      <c r="I14" t="s">
        <v>75</v>
      </c>
      <c r="J14" s="8">
        <f>SUM(C14:I14)</f>
      </c>
      <c r="K14" s="4">
        <f>B14*J14</f>
      </c>
    </row>
    <row r="15" spans="1:11" x14ac:dyDescent="0.25">
      <c r="A15" s="5" t="s">
        <v>44</v>
      </c>
      <c r="B15" s="6">
        <v>0.5</v>
      </c>
      <c r="C15" s="5" t="s">
        <v>75</v>
      </c>
      <c r="D15" s="5" t="s">
        <v>75</v>
      </c>
      <c r="E15" s="5" t="s">
        <v>75</v>
      </c>
      <c r="F15" s="5" t="s">
        <v>75</v>
      </c>
      <c r="G15" s="5" t="s">
        <v>75</v>
      </c>
      <c r="H15" s="5" t="s">
        <v>75</v>
      </c>
      <c r="I15" s="5" t="s">
        <v>75</v>
      </c>
      <c r="J15" s="9">
        <f>SUM(C15:I15)</f>
      </c>
      <c r="K15" s="6">
        <f>B15*J15</f>
      </c>
    </row>
    <row r="16" spans="1:11" x14ac:dyDescent="0.25">
      <c r="A16" t="s">
        <v>46</v>
      </c>
      <c r="B16" s="4">
        <v>0.5</v>
      </c>
      <c r="C16" t="s">
        <v>75</v>
      </c>
      <c r="D16" t="s">
        <v>75</v>
      </c>
      <c r="E16" t="s">
        <v>75</v>
      </c>
      <c r="F16" t="s">
        <v>75</v>
      </c>
      <c r="G16" t="s">
        <v>75</v>
      </c>
      <c r="H16" t="s">
        <v>75</v>
      </c>
      <c r="I16" t="s">
        <v>75</v>
      </c>
      <c r="J16" s="8">
        <f>SUM(C16:I16)</f>
      </c>
      <c r="K16" s="4">
        <f>B16*J16</f>
      </c>
    </row>
    <row r="17" spans="1:11" x14ac:dyDescent="0.25">
      <c r="A17" s="5" t="s">
        <v>48</v>
      </c>
      <c r="B17" s="6">
        <v>1</v>
      </c>
      <c r="C17" s="5" t="s">
        <v>75</v>
      </c>
      <c r="D17" s="5" t="s">
        <v>75</v>
      </c>
      <c r="E17" s="5" t="s">
        <v>75</v>
      </c>
      <c r="F17" s="5" t="s">
        <v>75</v>
      </c>
      <c r="G17" s="5" t="s">
        <v>75</v>
      </c>
      <c r="H17" s="5" t="s">
        <v>75</v>
      </c>
      <c r="I17" s="5" t="s">
        <v>75</v>
      </c>
      <c r="J17" s="9">
        <f>SUM(C17:I17)</f>
      </c>
      <c r="K17" s="6">
        <f>B17*J17</f>
      </c>
    </row>
    <row r="18" spans="1:11" x14ac:dyDescent="0.25">
      <c r="A18" t="s">
        <v>51</v>
      </c>
      <c r="B18" s="4">
        <v>20</v>
      </c>
      <c r="C18" t="s">
        <v>75</v>
      </c>
      <c r="D18" t="s">
        <v>75</v>
      </c>
      <c r="E18" t="s">
        <v>75</v>
      </c>
      <c r="F18" t="s">
        <v>75</v>
      </c>
      <c r="G18" t="s">
        <v>75</v>
      </c>
      <c r="H18" t="s">
        <v>75</v>
      </c>
      <c r="I18" t="s">
        <v>75</v>
      </c>
      <c r="J18" s="8">
        <f>SUM(C18:I18)</f>
      </c>
      <c r="K18" s="4">
        <f>B18*J18</f>
      </c>
    </row>
    <row r="19" spans="1:11" x14ac:dyDescent="0.25">
      <c r="A19" s="5" t="s">
        <v>53</v>
      </c>
      <c r="B19" s="6">
        <v>12</v>
      </c>
      <c r="C19" s="5" t="s">
        <v>75</v>
      </c>
      <c r="D19" s="5" t="s">
        <v>75</v>
      </c>
      <c r="E19" s="5" t="s">
        <v>75</v>
      </c>
      <c r="F19" s="5" t="s">
        <v>75</v>
      </c>
      <c r="G19" s="5" t="s">
        <v>75</v>
      </c>
      <c r="H19" s="5" t="s">
        <v>75</v>
      </c>
      <c r="I19" s="5" t="s">
        <v>75</v>
      </c>
      <c r="J19" s="9">
        <f>SUM(C19:I19)</f>
      </c>
      <c r="K19" s="6">
        <f>B19*J19</f>
      </c>
    </row>
    <row r="20" spans="1:11" s="10" customFormat="1" x14ac:dyDescent="0.25">
      <c r="A20" s="10" t="s">
        <v>76</v>
      </c>
      <c r="B20" s="10" t="s">
        <v>75</v>
      </c>
      <c r="C20" s="10" t="s">
        <v>75</v>
      </c>
      <c r="D20" s="10" t="s">
        <v>75</v>
      </c>
      <c r="E20" s="10" t="s">
        <v>75</v>
      </c>
      <c r="F20" s="10" t="s">
        <v>75</v>
      </c>
      <c r="G20" s="10" t="s">
        <v>75</v>
      </c>
      <c r="H20" s="10" t="s">
        <v>75</v>
      </c>
      <c r="I20" s="10" t="s">
        <v>75</v>
      </c>
      <c r="J20" s="10" t="s">
        <v>75</v>
      </c>
      <c r="K20" s="11">
        <f>SUM(K4:K19)</f>
      </c>
    </row>
  </sheetData>
  <mergeCells count="1">
    <mergeCell ref="A1:K1"/>
  </mergeCells>
  <pageMargins left="0.7" right="0.7" top="0.75" bottom="0.75" header="0.3" footer="0.3"/>
  <pageSetup orientation="landscape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8" customWidth="1"/>
    <col min="2" max="2" width="14" customWidth="1"/>
    <col min="3" max="3" width="30" customWidth="1"/>
    <col min="4" max="4" width="10" customWidth="1"/>
    <col min="5" max="5" width="28" customWidth="1"/>
    <col min="6" max="6" width="35" customWidth="1"/>
    <col min="7" max="7" width="18" customWidth="1"/>
    <col min="8" max="8" width="16" customWidth="1"/>
    <col min="9" max="9" width="18" customWidth="1"/>
  </cols>
  <sheetData>
    <row r="1" ht="30" customHeight="1" spans="1:9" x14ac:dyDescent="0.25">
      <c r="A1" s="1" t="s">
        <v>77</v>
      </c>
      <c r="B1" s="1"/>
      <c r="C1" s="1"/>
      <c r="D1" s="1"/>
      <c r="E1" s="1"/>
      <c r="F1" s="1"/>
      <c r="G1" s="1"/>
      <c r="H1" s="1"/>
      <c r="I1" s="1"/>
    </row>
    <row r="2" spans="1:1" x14ac:dyDescent="0.25">
      <c r="A2" s="12" t="s">
        <v>78</v>
      </c>
    </row>
    <row r="3" spans="1:9" s="2" customFormat="1" x14ac:dyDescent="0.25">
      <c r="A3" s="3" t="s">
        <v>79</v>
      </c>
      <c r="B3" s="3" t="s">
        <v>80</v>
      </c>
      <c r="C3" s="3" t="s">
        <v>81</v>
      </c>
      <c r="D3" s="3" t="s">
        <v>82</v>
      </c>
      <c r="E3" s="3" t="s">
        <v>83</v>
      </c>
      <c r="F3" s="3" t="s">
        <v>84</v>
      </c>
      <c r="G3" s="3" t="s">
        <v>85</v>
      </c>
      <c r="H3" s="3" t="s">
        <v>86</v>
      </c>
      <c r="I3" s="3" t="s">
        <v>87</v>
      </c>
    </row>
    <row r="4" spans="1:9" x14ac:dyDescent="0.25">
      <c r="A4">
        <v>1</v>
      </c>
      <c r="B4" t="s">
        <v>88</v>
      </c>
      <c r="C4" t="s">
        <v>89</v>
      </c>
      <c r="D4">
        <v>3</v>
      </c>
      <c r="E4" t="s">
        <v>90</v>
      </c>
      <c r="F4" t="s">
        <v>91</v>
      </c>
      <c r="G4" s="4">
        <v>1.3</v>
      </c>
      <c r="H4" s="4">
        <f>D4*G4</f>
      </c>
      <c r="I4" t="s">
        <v>92</v>
      </c>
    </row>
    <row r="5" spans="1:9" x14ac:dyDescent="0.25">
      <c r="A5">
        <v>2</v>
      </c>
      <c r="B5" t="s">
        <v>93</v>
      </c>
      <c r="C5" t="s">
        <v>11</v>
      </c>
      <c r="D5">
        <v>6</v>
      </c>
      <c r="E5" t="s">
        <v>94</v>
      </c>
      <c r="F5" t="s">
        <v>95</v>
      </c>
      <c r="G5" s="4">
        <v>1.2</v>
      </c>
      <c r="H5" s="4">
        <f>D5*G5</f>
      </c>
      <c r="I5" t="s">
        <v>96</v>
      </c>
    </row>
    <row r="6" spans="1:9" x14ac:dyDescent="0.25">
      <c r="A6">
        <v>3</v>
      </c>
      <c r="B6" t="s">
        <v>97</v>
      </c>
      <c r="C6" t="s">
        <v>98</v>
      </c>
      <c r="D6">
        <v>4</v>
      </c>
      <c r="E6" t="s">
        <v>99</v>
      </c>
      <c r="F6" t="s">
        <v>100</v>
      </c>
      <c r="G6" s="4">
        <v>1</v>
      </c>
      <c r="H6" s="4">
        <f>D6*G6</f>
      </c>
      <c r="I6" t="s">
        <v>96</v>
      </c>
    </row>
    <row r="7" spans="1:9" x14ac:dyDescent="0.25">
      <c r="A7">
        <v>4</v>
      </c>
      <c r="B7" t="s">
        <v>75</v>
      </c>
      <c r="C7" t="s">
        <v>75</v>
      </c>
      <c r="D7" t="s">
        <v>75</v>
      </c>
      <c r="E7" t="s">
        <v>75</v>
      </c>
      <c r="F7" t="s">
        <v>75</v>
      </c>
      <c r="G7" s="4" t="s">
        <v>75</v>
      </c>
      <c r="H7" s="4">
        <f>D7*G7</f>
      </c>
      <c r="I7" t="s">
        <v>75</v>
      </c>
    </row>
    <row r="8" spans="1:9" x14ac:dyDescent="0.25">
      <c r="A8">
        <v>5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s="4" t="s">
        <v>75</v>
      </c>
      <c r="H8" s="4">
        <f>D8*G8</f>
      </c>
      <c r="I8" t="s">
        <v>75</v>
      </c>
    </row>
    <row r="9" spans="1:9" x14ac:dyDescent="0.25">
      <c r="A9">
        <v>6</v>
      </c>
      <c r="B9" t="s">
        <v>75</v>
      </c>
      <c r="C9" t="s">
        <v>75</v>
      </c>
      <c r="D9" t="s">
        <v>75</v>
      </c>
      <c r="E9" t="s">
        <v>75</v>
      </c>
      <c r="F9" t="s">
        <v>75</v>
      </c>
      <c r="G9" s="4" t="s">
        <v>75</v>
      </c>
      <c r="H9" s="4">
        <f>D9*G9</f>
      </c>
      <c r="I9" t="s">
        <v>75</v>
      </c>
    </row>
    <row r="10" spans="1:9" x14ac:dyDescent="0.25">
      <c r="A10">
        <v>7</v>
      </c>
      <c r="B10" t="s">
        <v>75</v>
      </c>
      <c r="C10" t="s">
        <v>75</v>
      </c>
      <c r="D10" t="s">
        <v>75</v>
      </c>
      <c r="E10" t="s">
        <v>75</v>
      </c>
      <c r="F10" t="s">
        <v>75</v>
      </c>
      <c r="G10" s="4" t="s">
        <v>75</v>
      </c>
      <c r="H10" s="4">
        <f>D10*G10</f>
      </c>
      <c r="I10" t="s">
        <v>75</v>
      </c>
    </row>
    <row r="11" spans="1:9" x14ac:dyDescent="0.25">
      <c r="A11">
        <v>8</v>
      </c>
      <c r="B11" t="s">
        <v>75</v>
      </c>
      <c r="C11" t="s">
        <v>75</v>
      </c>
      <c r="D11" t="s">
        <v>75</v>
      </c>
      <c r="E11" t="s">
        <v>75</v>
      </c>
      <c r="F11" t="s">
        <v>75</v>
      </c>
      <c r="G11" s="4" t="s">
        <v>75</v>
      </c>
      <c r="H11" s="4">
        <f>D11*G11</f>
      </c>
      <c r="I11" t="s">
        <v>75</v>
      </c>
    </row>
    <row r="12" spans="1:9" x14ac:dyDescent="0.25">
      <c r="A12">
        <v>9</v>
      </c>
      <c r="B12" t="s">
        <v>75</v>
      </c>
      <c r="C12" t="s">
        <v>75</v>
      </c>
      <c r="D12" t="s">
        <v>75</v>
      </c>
      <c r="E12" t="s">
        <v>75</v>
      </c>
      <c r="F12" t="s">
        <v>75</v>
      </c>
      <c r="G12" s="4" t="s">
        <v>75</v>
      </c>
      <c r="H12" s="4">
        <f>D12*G12</f>
      </c>
      <c r="I12" t="s">
        <v>75</v>
      </c>
    </row>
    <row r="13" spans="1:9" x14ac:dyDescent="0.25">
      <c r="A13">
        <v>10</v>
      </c>
      <c r="B13" t="s">
        <v>75</v>
      </c>
      <c r="C13" t="s">
        <v>75</v>
      </c>
      <c r="D13" t="s">
        <v>75</v>
      </c>
      <c r="E13" t="s">
        <v>75</v>
      </c>
      <c r="F13" t="s">
        <v>75</v>
      </c>
      <c r="G13" s="4" t="s">
        <v>75</v>
      </c>
      <c r="H13" s="4">
        <f>D13*G13</f>
      </c>
      <c r="I13" t="s">
        <v>75</v>
      </c>
    </row>
    <row r="14" spans="1:9" x14ac:dyDescent="0.25">
      <c r="A14">
        <v>11</v>
      </c>
      <c r="B14" t="s">
        <v>75</v>
      </c>
      <c r="C14" t="s">
        <v>75</v>
      </c>
      <c r="D14" t="s">
        <v>75</v>
      </c>
      <c r="E14" t="s">
        <v>75</v>
      </c>
      <c r="F14" t="s">
        <v>75</v>
      </c>
      <c r="G14" s="4" t="s">
        <v>75</v>
      </c>
      <c r="H14" s="4">
        <f>D14*G14</f>
      </c>
      <c r="I14" t="s">
        <v>75</v>
      </c>
    </row>
    <row r="15" spans="1:9" x14ac:dyDescent="0.25">
      <c r="A15">
        <v>12</v>
      </c>
      <c r="B15" t="s">
        <v>75</v>
      </c>
      <c r="C15" t="s">
        <v>75</v>
      </c>
      <c r="D15" t="s">
        <v>75</v>
      </c>
      <c r="E15" t="s">
        <v>75</v>
      </c>
      <c r="F15" t="s">
        <v>75</v>
      </c>
      <c r="G15" s="4" t="s">
        <v>75</v>
      </c>
      <c r="H15" s="4">
        <f>D15*G15</f>
      </c>
      <c r="I15" t="s">
        <v>75</v>
      </c>
    </row>
    <row r="16" spans="1:9" x14ac:dyDescent="0.25">
      <c r="A16">
        <v>13</v>
      </c>
      <c r="B16" t="s">
        <v>75</v>
      </c>
      <c r="C16" t="s">
        <v>75</v>
      </c>
      <c r="D16" t="s">
        <v>75</v>
      </c>
      <c r="E16" t="s">
        <v>75</v>
      </c>
      <c r="F16" t="s">
        <v>75</v>
      </c>
      <c r="G16" s="4" t="s">
        <v>75</v>
      </c>
      <c r="H16" s="4">
        <f>D16*G16</f>
      </c>
      <c r="I16" t="s">
        <v>75</v>
      </c>
    </row>
    <row r="17" spans="1:9" x14ac:dyDescent="0.25">
      <c r="A17">
        <v>14</v>
      </c>
      <c r="B17" t="s">
        <v>75</v>
      </c>
      <c r="C17" t="s">
        <v>75</v>
      </c>
      <c r="D17" t="s">
        <v>75</v>
      </c>
      <c r="E17" t="s">
        <v>75</v>
      </c>
      <c r="F17" t="s">
        <v>75</v>
      </c>
      <c r="G17" s="4" t="s">
        <v>75</v>
      </c>
      <c r="H17" s="4">
        <f>D17*G17</f>
      </c>
      <c r="I17" t="s">
        <v>75</v>
      </c>
    </row>
    <row r="18" spans="1:9" x14ac:dyDescent="0.25">
      <c r="A18">
        <v>15</v>
      </c>
      <c r="B18" t="s">
        <v>75</v>
      </c>
      <c r="C18" t="s">
        <v>75</v>
      </c>
      <c r="D18" t="s">
        <v>75</v>
      </c>
      <c r="E18" t="s">
        <v>75</v>
      </c>
      <c r="F18" t="s">
        <v>75</v>
      </c>
      <c r="G18" s="4" t="s">
        <v>75</v>
      </c>
      <c r="H18" s="4">
        <f>D18*G18</f>
      </c>
      <c r="I18" t="s">
        <v>75</v>
      </c>
    </row>
    <row r="19" spans="1:9" x14ac:dyDescent="0.25">
      <c r="A19">
        <v>16</v>
      </c>
      <c r="B19" t="s">
        <v>75</v>
      </c>
      <c r="C19" t="s">
        <v>75</v>
      </c>
      <c r="D19" t="s">
        <v>75</v>
      </c>
      <c r="E19" t="s">
        <v>75</v>
      </c>
      <c r="F19" t="s">
        <v>75</v>
      </c>
      <c r="G19" s="4" t="s">
        <v>75</v>
      </c>
      <c r="H19" s="4">
        <f>D19*G19</f>
      </c>
      <c r="I19" t="s">
        <v>75</v>
      </c>
    </row>
    <row r="20" spans="1:9" x14ac:dyDescent="0.25">
      <c r="A20">
        <v>17</v>
      </c>
      <c r="B20" t="s">
        <v>75</v>
      </c>
      <c r="C20" t="s">
        <v>75</v>
      </c>
      <c r="D20" t="s">
        <v>75</v>
      </c>
      <c r="E20" t="s">
        <v>75</v>
      </c>
      <c r="F20" t="s">
        <v>75</v>
      </c>
      <c r="G20" s="4" t="s">
        <v>75</v>
      </c>
      <c r="H20" s="4">
        <f>D20*G20</f>
      </c>
      <c r="I20" t="s">
        <v>75</v>
      </c>
    </row>
    <row r="21" spans="1:9" x14ac:dyDescent="0.25">
      <c r="A21">
        <v>18</v>
      </c>
      <c r="B21" t="s">
        <v>75</v>
      </c>
      <c r="C21" t="s">
        <v>75</v>
      </c>
      <c r="D21" t="s">
        <v>75</v>
      </c>
      <c r="E21" t="s">
        <v>75</v>
      </c>
      <c r="F21" t="s">
        <v>75</v>
      </c>
      <c r="G21" s="4" t="s">
        <v>75</v>
      </c>
      <c r="H21" s="4">
        <f>D21*G21</f>
      </c>
      <c r="I21" t="s">
        <v>75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FormatPr defaultRowHeight="15" outlineLevelRow="0" outlineLevelCol="0" x14ac:dyDescent="55"/>
  <cols>
    <col min="1" max="1" width="6" customWidth="1"/>
    <col min="2" max="2" width="16" customWidth="1"/>
    <col min="3" max="3" width="32" customWidth="1"/>
    <col min="4" max="4" width="10" customWidth="1"/>
    <col min="5" max="5" width="20" customWidth="1"/>
    <col min="6" max="9" width="16" customWidth="1"/>
    <col min="10" max="10" width="18" customWidth="1"/>
    <col min="11" max="11" width="12" customWidth="1"/>
    <col min="12" max="12" width="18" customWidth="1"/>
    <col min="13" max="13" width="16" customWidth="1"/>
    <col min="14" max="14" width="22" customWidth="1"/>
  </cols>
  <sheetData>
    <row r="1" ht="30" customHeight="1" spans="1:14" x14ac:dyDescent="0.25">
      <c r="A1" s="1" t="s">
        <v>101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" x14ac:dyDescent="0.25">
      <c r="A2" s="13" t="s">
        <v>102</v>
      </c>
    </row>
    <row r="3" spans="1:14" s="2" customFormat="1" x14ac:dyDescent="0.25">
      <c r="A3" s="3" t="s">
        <v>103</v>
      </c>
      <c r="B3" s="3" t="s">
        <v>2</v>
      </c>
      <c r="C3" s="3" t="s">
        <v>104</v>
      </c>
      <c r="D3" s="3" t="s">
        <v>4</v>
      </c>
      <c r="E3" s="3" t="s">
        <v>105</v>
      </c>
      <c r="F3" s="3" t="s">
        <v>106</v>
      </c>
      <c r="G3" s="3" t="s">
        <v>107</v>
      </c>
      <c r="H3" s="3" t="s">
        <v>108</v>
      </c>
      <c r="I3" s="3" t="s">
        <v>109</v>
      </c>
      <c r="J3" s="3" t="s">
        <v>110</v>
      </c>
      <c r="K3" s="3" t="s">
        <v>111</v>
      </c>
      <c r="L3" s="3" t="s">
        <v>112</v>
      </c>
      <c r="M3" s="3" t="s">
        <v>85</v>
      </c>
      <c r="N3" s="3" t="s">
        <v>113</v>
      </c>
    </row>
    <row r="4" spans="1:14" x14ac:dyDescent="0.25">
      <c r="A4">
        <v>1</v>
      </c>
      <c r="B4" t="s">
        <v>10</v>
      </c>
      <c r="C4" t="s">
        <v>11</v>
      </c>
      <c r="D4" t="s">
        <v>12</v>
      </c>
      <c r="E4">
        <v>0</v>
      </c>
      <c r="F4">
        <v>0</v>
      </c>
      <c r="G4">
        <v>0</v>
      </c>
      <c r="H4">
        <v>0</v>
      </c>
      <c r="I4">
        <f>E4+F4-G4-H4</f>
      </c>
      <c r="J4">
        <v>0</v>
      </c>
      <c r="K4">
        <f>J4-I4</f>
      </c>
      <c r="L4">
        <f>IF(J4*M4&lt;10,"Geringfügig (0 €)","Erfassen")</f>
      </c>
      <c r="M4" s="4">
        <v>1.2</v>
      </c>
      <c r="N4" s="4">
        <f>IF(L4="Geringfügig (0 €)",0,J4*M4)</f>
      </c>
    </row>
    <row r="5" spans="1:14" x14ac:dyDescent="0.25">
      <c r="A5" s="5">
        <v>2</v>
      </c>
      <c r="B5" s="5" t="s">
        <v>10</v>
      </c>
      <c r="C5" s="5" t="s">
        <v>15</v>
      </c>
      <c r="D5" s="5" t="s">
        <v>12</v>
      </c>
      <c r="E5" s="5">
        <v>0</v>
      </c>
      <c r="F5" s="5">
        <v>0</v>
      </c>
      <c r="G5" s="5">
        <v>0</v>
      </c>
      <c r="H5" s="5">
        <v>0</v>
      </c>
      <c r="I5" s="5">
        <f>E5+F5-G5-H5</f>
      </c>
      <c r="J5" s="5">
        <v>0</v>
      </c>
      <c r="K5" s="5">
        <f>J5-I5</f>
      </c>
      <c r="L5" s="5">
        <f>IF(J5*M5&lt;10,"Geringfügig (0 €)","Erfassen")</f>
      </c>
      <c r="M5" s="6">
        <v>1.3</v>
      </c>
      <c r="N5" s="6">
        <f>IF(L5="Geringfügig (0 €)",0,J5*M5)</f>
      </c>
    </row>
    <row r="6" spans="1:14" x14ac:dyDescent="0.25">
      <c r="A6">
        <v>3</v>
      </c>
      <c r="B6" t="s">
        <v>10</v>
      </c>
      <c r="C6" t="s">
        <v>16</v>
      </c>
      <c r="D6" t="s">
        <v>17</v>
      </c>
      <c r="E6">
        <v>0</v>
      </c>
      <c r="F6">
        <v>0</v>
      </c>
      <c r="G6">
        <v>0</v>
      </c>
      <c r="H6">
        <v>0</v>
      </c>
      <c r="I6">
        <f>E6+F6-G6-H6</f>
      </c>
      <c r="J6">
        <v>0</v>
      </c>
      <c r="K6">
        <f>J6-I6</f>
      </c>
      <c r="L6">
        <f>IF(J6*M6&lt;10,"Geringfügig (0 €)","Erfassen")</f>
      </c>
      <c r="M6" s="4">
        <v>0.8</v>
      </c>
      <c r="N6" s="4">
        <f>IF(L6="Geringfügig (0 €)",0,J6*M6)</f>
      </c>
    </row>
    <row r="7" spans="1:14" x14ac:dyDescent="0.25">
      <c r="A7" s="5">
        <v>4</v>
      </c>
      <c r="B7" s="5" t="s">
        <v>10</v>
      </c>
      <c r="C7" s="5" t="s">
        <v>19</v>
      </c>
      <c r="D7" s="5" t="s">
        <v>20</v>
      </c>
      <c r="E7" s="5">
        <v>0</v>
      </c>
      <c r="F7" s="5">
        <v>0</v>
      </c>
      <c r="G7" s="5">
        <v>0</v>
      </c>
      <c r="H7" s="5">
        <v>0</v>
      </c>
      <c r="I7" s="5">
        <f>E7+F7-G7-H7</f>
      </c>
      <c r="J7" s="5">
        <v>0</v>
      </c>
      <c r="K7" s="5">
        <f>J7-I7</f>
      </c>
      <c r="L7" s="5">
        <f>IF(J7*M7&lt;10,"Geringfügig (0 €)","Erfassen")</f>
      </c>
      <c r="M7" s="6">
        <v>1.1</v>
      </c>
      <c r="N7" s="6">
        <f>IF(L7="Geringfügig (0 €)",0,J7*M7)</f>
      </c>
    </row>
    <row r="8" spans="1:14" x14ac:dyDescent="0.25">
      <c r="A8">
        <v>5</v>
      </c>
      <c r="B8" t="s">
        <v>10</v>
      </c>
      <c r="C8" t="s">
        <v>22</v>
      </c>
      <c r="D8" t="s">
        <v>12</v>
      </c>
      <c r="E8">
        <v>0</v>
      </c>
      <c r="F8">
        <v>0</v>
      </c>
      <c r="G8">
        <v>0</v>
      </c>
      <c r="H8">
        <v>0</v>
      </c>
      <c r="I8">
        <f>E8+F8-G8-H8</f>
      </c>
      <c r="J8">
        <v>0</v>
      </c>
      <c r="K8">
        <f>J8-I8</f>
      </c>
      <c r="L8">
        <f>IF(J8*M8&lt;10,"Geringfügig (0 €)","Erfassen")</f>
      </c>
      <c r="M8" s="4">
        <v>0.5</v>
      </c>
      <c r="N8" s="4">
        <f>IF(L8="Geringfügig (0 €)",0,J8*M8)</f>
      </c>
    </row>
    <row r="9" spans="1:14" x14ac:dyDescent="0.25">
      <c r="A9" s="5">
        <v>6</v>
      </c>
      <c r="B9" s="5" t="s">
        <v>24</v>
      </c>
      <c r="C9" s="5" t="s">
        <v>25</v>
      </c>
      <c r="D9" s="5" t="s">
        <v>26</v>
      </c>
      <c r="E9" s="5">
        <v>0</v>
      </c>
      <c r="F9" s="5">
        <v>0</v>
      </c>
      <c r="G9" s="5">
        <v>0</v>
      </c>
      <c r="H9" s="5">
        <v>0</v>
      </c>
      <c r="I9" s="5">
        <f>E9+F9-G9-H9</f>
      </c>
      <c r="J9" s="5">
        <v>0</v>
      </c>
      <c r="K9" s="5">
        <f>J9-I9</f>
      </c>
      <c r="L9" s="5">
        <f>IF(J9*M9&lt;10,"Geringfügig (0 €)","Erfassen")</f>
      </c>
      <c r="M9" s="6">
        <v>0.4</v>
      </c>
      <c r="N9" s="6">
        <f>IF(L9="Geringfügig (0 €)",0,J9*M9)</f>
      </c>
    </row>
    <row r="10" spans="1:14" x14ac:dyDescent="0.25">
      <c r="A10">
        <v>7</v>
      </c>
      <c r="B10" t="s">
        <v>24</v>
      </c>
      <c r="C10" t="s">
        <v>29</v>
      </c>
      <c r="D10" t="s">
        <v>30</v>
      </c>
      <c r="E10">
        <v>0</v>
      </c>
      <c r="F10">
        <v>0</v>
      </c>
      <c r="G10">
        <v>0</v>
      </c>
      <c r="H10">
        <v>0</v>
      </c>
      <c r="I10">
        <f>E10+F10-G10-H10</f>
      </c>
      <c r="J10">
        <v>0</v>
      </c>
      <c r="K10">
        <f>J10-I10</f>
      </c>
      <c r="L10">
        <f>IF(J10*M10&lt;10,"Geringfügig (0 €)","Erfassen")</f>
      </c>
      <c r="M10" s="4">
        <v>0.7</v>
      </c>
      <c r="N10" s="4">
        <f>IF(L10="Geringfügig (0 €)",0,J10*M10)</f>
      </c>
    </row>
    <row r="11" spans="1:14" x14ac:dyDescent="0.25">
      <c r="A11" s="5">
        <v>8</v>
      </c>
      <c r="B11" s="5" t="s">
        <v>24</v>
      </c>
      <c r="C11" s="5" t="s">
        <v>31</v>
      </c>
      <c r="D11" s="5" t="s">
        <v>32</v>
      </c>
      <c r="E11" s="5">
        <v>0</v>
      </c>
      <c r="F11" s="5">
        <v>0</v>
      </c>
      <c r="G11" s="5">
        <v>0</v>
      </c>
      <c r="H11" s="5">
        <v>0</v>
      </c>
      <c r="I11" s="5">
        <f>E11+F11-G11-H11</f>
      </c>
      <c r="J11" s="5">
        <v>0</v>
      </c>
      <c r="K11" s="5">
        <f>J11-I11</f>
      </c>
      <c r="L11" s="5">
        <f>IF(J11*M11&lt;10,"Geringfügig (0 €)","Erfassen")</f>
      </c>
      <c r="M11" s="6">
        <v>0.3</v>
      </c>
      <c r="N11" s="6">
        <f>IF(L11="Geringfügig (0 €)",0,J11*M11)</f>
      </c>
    </row>
    <row r="12" spans="1:14" x14ac:dyDescent="0.25">
      <c r="A12">
        <v>9</v>
      </c>
      <c r="B12" t="s">
        <v>24</v>
      </c>
      <c r="C12" t="s">
        <v>34</v>
      </c>
      <c r="D12" t="s">
        <v>35</v>
      </c>
      <c r="E12">
        <v>0</v>
      </c>
      <c r="F12">
        <v>0</v>
      </c>
      <c r="G12">
        <v>0</v>
      </c>
      <c r="H12">
        <v>0</v>
      </c>
      <c r="I12">
        <f>E12+F12-G12-H12</f>
      </c>
      <c r="J12">
        <v>0</v>
      </c>
      <c r="K12">
        <f>J12-I12</f>
      </c>
      <c r="L12">
        <f>IF(J12*M12&lt;10,"Geringfügig (0 €)","Erfassen")</f>
      </c>
      <c r="M12" s="4">
        <v>0.9</v>
      </c>
      <c r="N12" s="4">
        <f>IF(L12="Geringfügig (0 €)",0,J12*M12)</f>
      </c>
    </row>
    <row r="13" spans="1:14" x14ac:dyDescent="0.25">
      <c r="A13" s="5">
        <v>10</v>
      </c>
      <c r="B13" s="5" t="s">
        <v>37</v>
      </c>
      <c r="C13" s="5" t="s">
        <v>38</v>
      </c>
      <c r="D13" s="5" t="s">
        <v>39</v>
      </c>
      <c r="E13" s="5">
        <v>0</v>
      </c>
      <c r="F13" s="5">
        <v>0</v>
      </c>
      <c r="G13" s="5">
        <v>0</v>
      </c>
      <c r="H13" s="5">
        <v>0</v>
      </c>
      <c r="I13" s="5">
        <f>E13+F13-G13-H13</f>
      </c>
      <c r="J13" s="5">
        <v>0</v>
      </c>
      <c r="K13" s="5">
        <f>J13-I13</f>
      </c>
      <c r="L13" s="5">
        <f>IF(J13*M13&lt;10,"Geringfügig (0 €)","Erfassen")</f>
      </c>
      <c r="M13" s="6">
        <v>1</v>
      </c>
      <c r="N13" s="6">
        <f>IF(L13="Geringfügig (0 €)",0,J13*M13)</f>
      </c>
    </row>
    <row r="14" spans="1:14" x14ac:dyDescent="0.25">
      <c r="A14">
        <v>11</v>
      </c>
      <c r="B14" t="s">
        <v>37</v>
      </c>
      <c r="C14" t="s">
        <v>41</v>
      </c>
      <c r="D14" t="s">
        <v>42</v>
      </c>
      <c r="E14">
        <v>0</v>
      </c>
      <c r="F14">
        <v>0</v>
      </c>
      <c r="G14">
        <v>0</v>
      </c>
      <c r="H14">
        <v>0</v>
      </c>
      <c r="I14">
        <f>E14+F14-G14-H14</f>
      </c>
      <c r="J14">
        <v>0</v>
      </c>
      <c r="K14">
        <f>J14-I14</f>
      </c>
      <c r="L14">
        <f>IF(J14*M14&lt;10,"Geringfügig (0 €)","Erfassen")</f>
      </c>
      <c r="M14" s="4">
        <v>0.1</v>
      </c>
      <c r="N14" s="4">
        <f>IF(L14="Geringfügig (0 €)",0,J14*M14)</f>
      </c>
    </row>
    <row r="15" spans="1:14" x14ac:dyDescent="0.25">
      <c r="A15" s="5">
        <v>12</v>
      </c>
      <c r="B15" s="5" t="s">
        <v>37</v>
      </c>
      <c r="C15" s="5" t="s">
        <v>44</v>
      </c>
      <c r="D15" s="5" t="s">
        <v>42</v>
      </c>
      <c r="E15" s="5">
        <v>0</v>
      </c>
      <c r="F15" s="5">
        <v>0</v>
      </c>
      <c r="G15" s="5">
        <v>0</v>
      </c>
      <c r="H15" s="5">
        <v>0</v>
      </c>
      <c r="I15" s="5">
        <f>E15+F15-G15-H15</f>
      </c>
      <c r="J15" s="5">
        <v>0</v>
      </c>
      <c r="K15" s="5">
        <f>J15-I15</f>
      </c>
      <c r="L15" s="5">
        <f>IF(J15*M15&lt;10,"Geringfügig (0 €)","Erfassen")</f>
      </c>
      <c r="M15" s="6">
        <v>0.15</v>
      </c>
      <c r="N15" s="6">
        <f>IF(L15="Geringfügig (0 €)",0,J15*M15)</f>
      </c>
    </row>
    <row r="16" spans="1:14" x14ac:dyDescent="0.25">
      <c r="A16">
        <v>13</v>
      </c>
      <c r="B16" t="s">
        <v>37</v>
      </c>
      <c r="C16" t="s">
        <v>46</v>
      </c>
      <c r="D16" t="s">
        <v>42</v>
      </c>
      <c r="E16">
        <v>0</v>
      </c>
      <c r="F16">
        <v>0</v>
      </c>
      <c r="G16">
        <v>0</v>
      </c>
      <c r="H16">
        <v>0</v>
      </c>
      <c r="I16">
        <f>E16+F16-G16-H16</f>
      </c>
      <c r="J16">
        <v>0</v>
      </c>
      <c r="K16">
        <f>J16-I16</f>
      </c>
      <c r="L16">
        <f>IF(J16*M16&lt;10,"Geringfügig (0 €)","Erfassen")</f>
      </c>
      <c r="M16" s="4">
        <v>0.2</v>
      </c>
      <c r="N16" s="4">
        <f>IF(L16="Geringfügig (0 €)",0,J16*M16)</f>
      </c>
    </row>
    <row r="17" spans="1:14" x14ac:dyDescent="0.25">
      <c r="A17" s="5">
        <v>14</v>
      </c>
      <c r="B17" s="5" t="s">
        <v>37</v>
      </c>
      <c r="C17" s="5" t="s">
        <v>48</v>
      </c>
      <c r="D17" s="5" t="s">
        <v>42</v>
      </c>
      <c r="E17" s="5">
        <v>0</v>
      </c>
      <c r="F17" s="5">
        <v>0</v>
      </c>
      <c r="G17" s="5">
        <v>0</v>
      </c>
      <c r="H17" s="5">
        <v>0</v>
      </c>
      <c r="I17" s="5">
        <f>E17+F17-G17-H17</f>
      </c>
      <c r="J17" s="5">
        <v>0</v>
      </c>
      <c r="K17" s="5">
        <f>J17-I17</f>
      </c>
      <c r="L17" s="5">
        <f>IF(J17*M17&lt;10,"Geringfügig (0 €)","Erfassen")</f>
      </c>
      <c r="M17" s="6">
        <v>0.45</v>
      </c>
      <c r="N17" s="6">
        <f>IF(L17="Geringfügig (0 €)",0,J17*M17)</f>
      </c>
    </row>
    <row r="18" spans="1:14" x14ac:dyDescent="0.25">
      <c r="A18">
        <v>15</v>
      </c>
      <c r="B18" t="s">
        <v>50</v>
      </c>
      <c r="C18" t="s">
        <v>51</v>
      </c>
      <c r="D18" t="s">
        <v>42</v>
      </c>
      <c r="E18">
        <v>0</v>
      </c>
      <c r="F18">
        <v>0</v>
      </c>
      <c r="G18">
        <v>0</v>
      </c>
      <c r="H18">
        <v>0</v>
      </c>
      <c r="I18">
        <f>E18+F18-G18-H18</f>
      </c>
      <c r="J18">
        <v>0</v>
      </c>
      <c r="K18">
        <f>J18-I18</f>
      </c>
      <c r="L18">
        <f>IF(J18*M18&lt;10,"Geringfügig (0 €)","Erfassen")</f>
      </c>
      <c r="M18" s="4">
        <v>8.5</v>
      </c>
      <c r="N18" s="4">
        <f>IF(L18="Geringfügig (0 €)",0,J18*M18)</f>
      </c>
    </row>
    <row r="19" spans="1:14" x14ac:dyDescent="0.25">
      <c r="A19" s="5">
        <v>16</v>
      </c>
      <c r="B19" s="5" t="s">
        <v>50</v>
      </c>
      <c r="C19" s="5" t="s">
        <v>53</v>
      </c>
      <c r="D19" s="5" t="s">
        <v>54</v>
      </c>
      <c r="E19" s="5">
        <v>0</v>
      </c>
      <c r="F19" s="5">
        <v>0</v>
      </c>
      <c r="G19" s="5">
        <v>0</v>
      </c>
      <c r="H19" s="5">
        <v>0</v>
      </c>
      <c r="I19" s="5">
        <f>E19+F19-G19-H19</f>
      </c>
      <c r="J19" s="5">
        <v>0</v>
      </c>
      <c r="K19" s="5">
        <f>J19-I19</f>
      </c>
      <c r="L19" s="5">
        <f>IF(J19*M19&lt;10,"Geringfügig (0 €)","Erfassen")</f>
      </c>
      <c r="M19" s="6">
        <v>4.2</v>
      </c>
      <c r="N19" s="6">
        <f>IF(L19="Geringfügig (0 €)",0,J19*M19)</f>
      </c>
    </row>
    <row r="20" spans="1:14" s="10" customFormat="1" x14ac:dyDescent="0.25">
      <c r="A20" s="10" t="s">
        <v>114</v>
      </c>
      <c r="B20" s="10" t="s">
        <v>75</v>
      </c>
      <c r="C20" s="10" t="s">
        <v>75</v>
      </c>
      <c r="D20" s="10" t="s">
        <v>75</v>
      </c>
      <c r="E20" s="10" t="s">
        <v>75</v>
      </c>
      <c r="F20" s="10" t="s">
        <v>75</v>
      </c>
      <c r="G20" s="10" t="s">
        <v>75</v>
      </c>
      <c r="H20" s="10" t="s">
        <v>75</v>
      </c>
      <c r="I20" s="10" t="s">
        <v>75</v>
      </c>
      <c r="J20" s="10" t="s">
        <v>75</v>
      </c>
      <c r="K20" s="10" t="s">
        <v>75</v>
      </c>
      <c r="L20" s="10" t="s">
        <v>75</v>
      </c>
      <c r="M20" s="10" t="s">
        <v>75</v>
      </c>
      <c r="N20" s="11">
        <f>SUM(N4:N19)</f>
      </c>
    </row>
  </sheetData>
  <mergeCells count="1">
    <mergeCell ref="A1:N1"/>
  </mergeCells>
  <pageMargins left="0.7" right="0.7" top="0.75" bottom="0.75" header="0.3" footer="0.3"/>
  <pageSetup orientation="landscape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FormatPr defaultRowHeight="15" outlineLevelRow="0" outlineLevelCol="0" x14ac:dyDescent="55"/>
  <cols>
    <col min="1" max="1" width="38" customWidth="1"/>
    <col min="2" max="2" width="20" customWidth="1"/>
    <col min="3" max="3" width="45" customWidth="1"/>
  </cols>
  <sheetData>
    <row r="1" ht="30" customHeight="1" spans="1:3" x14ac:dyDescent="0.25">
      <c r="A1" s="1" t="s">
        <v>115</v>
      </c>
      <c r="B1" s="1"/>
      <c r="C1" s="1"/>
    </row>
    <row r="3" spans="1:3" x14ac:dyDescent="0.25">
      <c r="A3" t="s">
        <v>116</v>
      </c>
      <c r="B3" t="s">
        <v>117</v>
      </c>
      <c r="C3" t="s">
        <v>118</v>
      </c>
    </row>
    <row r="4" spans="1:3" x14ac:dyDescent="0.25">
      <c r="A4" t="s">
        <v>119</v>
      </c>
      <c r="B4" t="s">
        <v>120</v>
      </c>
      <c r="C4" t="s">
        <v>121</v>
      </c>
    </row>
    <row r="6" spans="1:3" x14ac:dyDescent="0.25">
      <c r="A6" t="s">
        <v>122</v>
      </c>
      <c r="B6" s="4">
        <v>50</v>
      </c>
      <c r="C6" t="s">
        <v>123</v>
      </c>
    </row>
    <row r="7" spans="1:3" x14ac:dyDescent="0.25">
      <c r="A7" t="s">
        <v>124</v>
      </c>
      <c r="B7" s="4">
        <v>45</v>
      </c>
      <c r="C7" t="s">
        <v>125</v>
      </c>
    </row>
    <row r="8" spans="1:3" x14ac:dyDescent="0.25">
      <c r="A8" t="s">
        <v>126</v>
      </c>
      <c r="B8" s="4">
        <v>30</v>
      </c>
      <c r="C8" t="s">
        <v>127</v>
      </c>
    </row>
    <row r="9" spans="1:3" x14ac:dyDescent="0.25">
      <c r="A9" t="s">
        <v>128</v>
      </c>
      <c r="B9" s="4">
        <v>14.8</v>
      </c>
      <c r="C9" t="s">
        <v>129</v>
      </c>
    </row>
    <row r="10" spans="1:3" x14ac:dyDescent="0.25">
      <c r="A10" t="s">
        <v>130</v>
      </c>
      <c r="B10" t="s">
        <v>75</v>
      </c>
      <c r="C10" t="s">
        <v>130</v>
      </c>
    </row>
    <row r="11" spans="1:3" s="14" customFormat="1" x14ac:dyDescent="0.25">
      <c r="A11" s="14" t="s">
        <v>131</v>
      </c>
      <c r="B11" s="15">
        <f>B6+B7+B8-B9</f>
      </c>
      <c r="C11" s="14" t="s">
        <v>132</v>
      </c>
    </row>
    <row r="12" spans="1:3" s="14" customFormat="1" x14ac:dyDescent="0.25">
      <c r="A12" s="14" t="s">
        <v>133</v>
      </c>
      <c r="B12" s="15">
        <v>110.2</v>
      </c>
      <c r="C12" s="14" t="s">
        <v>134</v>
      </c>
    </row>
    <row r="13" spans="1:3" x14ac:dyDescent="0.25">
      <c r="A13" t="s">
        <v>130</v>
      </c>
      <c r="B13" t="s">
        <v>75</v>
      </c>
      <c r="C13" t="s">
        <v>130</v>
      </c>
    </row>
    <row r="14" spans="1:3" s="10" customFormat="1" x14ac:dyDescent="0.25">
      <c r="A14" s="10" t="s">
        <v>135</v>
      </c>
      <c r="B14" s="11">
        <f>B12-B11</f>
      </c>
      <c r="C14" s="10" t="s">
        <v>136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Artikelstamm &amp; Preise</vt:lpstr>
      <vt:lpstr>Wochen_Verkauf_Verbrauch</vt:lpstr>
      <vt:lpstr>Minderung_und_Schwund</vt:lpstr>
      <vt:lpstr>Stichtagsinventur_31_12</vt:lpstr>
      <vt:lpstr>Kassenabgleich_Tagesabschluss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SprachCafé Polnisch e.V. - Philipp Fuchs</dc:creator>
  <dc:title/>
  <dc:subject/>
  <dc:description/>
  <cp:keywords/>
  <cp:category/>
  <cp:lastModifiedBy>Unknown</cp:lastModifiedBy>
  <dcterms:created xsi:type="dcterms:W3CDTF">2026-08-28T15:41:26Z</dcterms:created>
  <dcterms:modified xsi:type="dcterms:W3CDTF">2026-08-28T15:41:26Z</dcterms:modified>
</cp:coreProperties>
</file>